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MK - PROJECTS\Chennai-Hyperlocal-Real-Estate-Pricing-Analytics\"/>
    </mc:Choice>
  </mc:AlternateContent>
  <xr:revisionPtr revIDLastSave="0" documentId="13_ncr:1_{9E9845B9-C7A9-454A-8BD4-38F1EE458712}" xr6:coauthVersionLast="47" xr6:coauthVersionMax="47" xr10:uidLastSave="{00000000-0000-0000-0000-000000000000}"/>
  <bookViews>
    <workbookView xWindow="-120" yWindow="-120" windowWidth="20730" windowHeight="11040" activeTab="1" xr2:uid="{5A9ABE11-777F-4AF9-89DC-FC5AFFB4FE7B}"/>
  </bookViews>
  <sheets>
    <sheet name="Properties_Data" sheetId="1" r:id="rId1"/>
    <sheet name="Locality_Referenc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" i="1" l="1"/>
  <c r="I16" i="1" s="1"/>
  <c r="G16" i="1"/>
  <c r="F16" i="1"/>
  <c r="H15" i="1"/>
  <c r="I15" i="1" s="1"/>
  <c r="G15" i="1"/>
  <c r="F15" i="1"/>
  <c r="H14" i="1"/>
  <c r="I14" i="1" s="1"/>
  <c r="J14" i="1" s="1"/>
  <c r="G14" i="1"/>
  <c r="F14" i="1"/>
  <c r="H13" i="1"/>
  <c r="I13" i="1" s="1"/>
  <c r="G13" i="1"/>
  <c r="F13" i="1"/>
  <c r="H12" i="1"/>
  <c r="I12" i="1" s="1"/>
  <c r="G12" i="1"/>
  <c r="F12" i="1"/>
  <c r="H11" i="1"/>
  <c r="I11" i="1" s="1"/>
  <c r="G11" i="1"/>
  <c r="F11" i="1"/>
  <c r="H10" i="1"/>
  <c r="I10" i="1" s="1"/>
  <c r="J10" i="1" s="1"/>
  <c r="G10" i="1"/>
  <c r="F10" i="1"/>
  <c r="H9" i="1"/>
  <c r="I9" i="1" s="1"/>
  <c r="J9" i="1" s="1"/>
  <c r="G9" i="1"/>
  <c r="F9" i="1"/>
  <c r="H8" i="1"/>
  <c r="I8" i="1" s="1"/>
  <c r="J8" i="1" s="1"/>
  <c r="G8" i="1"/>
  <c r="F8" i="1"/>
  <c r="H7" i="1"/>
  <c r="I7" i="1" s="1"/>
  <c r="G7" i="1"/>
  <c r="F7" i="1"/>
  <c r="H6" i="1"/>
  <c r="I6" i="1" s="1"/>
  <c r="G6" i="1"/>
  <c r="F6" i="1"/>
  <c r="H5" i="1"/>
  <c r="I5" i="1" s="1"/>
  <c r="G5" i="1"/>
  <c r="F5" i="1"/>
  <c r="H4" i="1"/>
  <c r="I4" i="1" s="1"/>
  <c r="G4" i="1"/>
  <c r="F4" i="1"/>
  <c r="H3" i="1"/>
  <c r="I3" i="1" s="1"/>
  <c r="J3" i="1" s="1"/>
  <c r="G3" i="1"/>
  <c r="F3" i="1"/>
  <c r="H2" i="1"/>
  <c r="I2" i="1" s="1"/>
  <c r="J2" i="1" s="1"/>
  <c r="G2" i="1"/>
  <c r="F2" i="1"/>
  <c r="J6" i="1" l="1"/>
  <c r="J4" i="1"/>
  <c r="J11" i="1"/>
  <c r="J5" i="1"/>
  <c r="J7" i="1"/>
  <c r="J13" i="1"/>
  <c r="J15" i="1"/>
  <c r="J16" i="1"/>
  <c r="J12" i="1"/>
</calcChain>
</file>

<file path=xl/sharedStrings.xml><?xml version="1.0" encoding="utf-8"?>
<sst xmlns="http://schemas.openxmlformats.org/spreadsheetml/2006/main" count="100" uniqueCount="52">
  <si>
    <t xml:space="preserve">Property ID </t>
  </si>
  <si>
    <t>Locality</t>
  </si>
  <si>
    <t>Property Type</t>
  </si>
  <si>
    <t>Property Size (Sq.Ft)</t>
  </si>
  <si>
    <t>Price per Sq.Ft</t>
  </si>
  <si>
    <t>Total Price</t>
  </si>
  <si>
    <t>Zone</t>
  </si>
  <si>
    <t>Tier</t>
  </si>
  <si>
    <t>Premium Charge</t>
  </si>
  <si>
    <t>Final Price</t>
  </si>
  <si>
    <t>CHN001</t>
  </si>
  <si>
    <t>Adyar</t>
  </si>
  <si>
    <t>Apartment</t>
  </si>
  <si>
    <t>CHN002</t>
  </si>
  <si>
    <t>OMR</t>
  </si>
  <si>
    <t>CHN003</t>
  </si>
  <si>
    <t>Anna Nagar</t>
  </si>
  <si>
    <t>House</t>
  </si>
  <si>
    <t>CHN004</t>
  </si>
  <si>
    <t>Velachery</t>
  </si>
  <si>
    <t>Plot</t>
  </si>
  <si>
    <t>CHN005</t>
  </si>
  <si>
    <t>CHN006</t>
  </si>
  <si>
    <t>Porur</t>
  </si>
  <si>
    <t>CHN007</t>
  </si>
  <si>
    <t>Tambaram</t>
  </si>
  <si>
    <t>CHN008</t>
  </si>
  <si>
    <t>T Nagar</t>
  </si>
  <si>
    <t>CHN009</t>
  </si>
  <si>
    <t>Sholinganallur</t>
  </si>
  <si>
    <t>CHN010</t>
  </si>
  <si>
    <t>Medavakkam</t>
  </si>
  <si>
    <t>CHN011</t>
  </si>
  <si>
    <t>Perungudi</t>
  </si>
  <si>
    <t>CHN012</t>
  </si>
  <si>
    <t>Kodambakkam</t>
  </si>
  <si>
    <t>CHN013</t>
  </si>
  <si>
    <t>ECR</t>
  </si>
  <si>
    <t>CHN014</t>
  </si>
  <si>
    <t>Chromepet</t>
  </si>
  <si>
    <t>CHN015</t>
  </si>
  <si>
    <t>Pallikaranai</t>
  </si>
  <si>
    <t>Locality (A)</t>
  </si>
  <si>
    <t>Zone (B)</t>
  </si>
  <si>
    <t>Tier (C)</t>
  </si>
  <si>
    <t>South</t>
  </si>
  <si>
    <t>Tier 1</t>
  </si>
  <si>
    <t>Tier 2</t>
  </si>
  <si>
    <t>Central</t>
  </si>
  <si>
    <t>West</t>
  </si>
  <si>
    <t>Tier 3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</si>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</sst>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/>
    <xf numFmtId="164" fontId="2" fillId="0" borderId="0" xfId="1" applyNumberFormat="1" applyFont="1"/>
    <xf numFmtId="0" fontId="1" fillId="0" borderId="0" xfId="1"/>
    <xf numFmtId="164" fontId="1" fillId="0" borderId="0" xfId="1" applyNumberFormat="1"/>
    <xf numFmtId="0" fontId="2" fillId="0" borderId="0" xfId="0" applyFont="1"/>
    <xf numFmtId="0" fontId="1" fillId="0" borderId="0" xfId="0" applyFont="1"/>
  </cellXfs>
  <cellStyles count="2">
    <cellStyle name="Normal" xfId="0" builtinId="0"/>
    <cellStyle name="Normal 2" xfId="1" xr:uid="{7C51ADD4-CB9F-453B-B5D2-93470456713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Videos/DATA%20ANALYST%20-%20PROJECTS/chennai-hyperlocal-realestate-excel-analytics-main/Chennai%20Hyperlocal%20Real%20Estate%20Pricing%20Analytics.xlsm" TargetMode="External"/><Relationship Id="rId2" Type="http://schemas.openxmlformats.org/officeDocument/2006/relationships/externalLinkPath" Target="file:///C:\Users\ELCOT\Videos\DATA%20ANALYST%20-%20PROJECTS\chennai-hyperlocal-realestate-excel-analytics-main\Chennai%20Hyperlocal%20Real%20Estate%20Pricing%20Analytics.xlsm" TargetMode="External"/><Relationship Id="rId1" Type="http://schemas.openxmlformats.org/officeDocument/2006/relationships/externalLinkPath" Target="/Users/ELCOT/Videos/DATA%20ANALYST%20-%20PROJECTS/chennai-hyperlocal-realestate-excel-analytics-main/Chennai%20Hyperlocal%20Real%20Estate%20Pricing%20Analytic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perties_Data"/>
      <sheetName val="Locality_Reference"/>
      <sheetName val="Dashboard"/>
    </sheetNames>
    <sheetDataSet>
      <sheetData sheetId="0"/>
      <sheetData sheetId="1">
        <row r="1">
          <cell r="A1" t="str">
            <v>Locality (A)</v>
          </cell>
          <cell r="B1" t="str">
            <v>Zone (B)</v>
          </cell>
          <cell r="C1" t="str">
            <v>Tier (C)</v>
          </cell>
        </row>
        <row r="2">
          <cell r="A2" t="str">
            <v>Adyar</v>
          </cell>
          <cell r="B2" t="str">
            <v>South</v>
          </cell>
          <cell r="C2" t="str">
            <v>Tier 1</v>
          </cell>
        </row>
        <row r="3">
          <cell r="A3" t="str">
            <v>OMR</v>
          </cell>
          <cell r="B3" t="str">
            <v>South</v>
          </cell>
          <cell r="C3" t="str">
            <v>Tier 2</v>
          </cell>
        </row>
        <row r="4">
          <cell r="A4" t="str">
            <v>Anna Nagar</v>
          </cell>
          <cell r="B4" t="str">
            <v>Central</v>
          </cell>
          <cell r="C4" t="str">
            <v>Tier 1</v>
          </cell>
        </row>
        <row r="5">
          <cell r="A5" t="str">
            <v>Velachery</v>
          </cell>
          <cell r="B5" t="str">
            <v>South</v>
          </cell>
          <cell r="C5" t="str">
            <v>Tier 2</v>
          </cell>
        </row>
        <row r="6">
          <cell r="A6" t="str">
            <v>Porur</v>
          </cell>
          <cell r="B6" t="str">
            <v>West</v>
          </cell>
          <cell r="C6" t="str">
            <v>Tier 3</v>
          </cell>
        </row>
        <row r="7">
          <cell r="A7" t="str">
            <v>Tambaram</v>
          </cell>
          <cell r="B7" t="str">
            <v>South</v>
          </cell>
          <cell r="C7" t="str">
            <v>Tier 3</v>
          </cell>
        </row>
        <row r="8">
          <cell r="A8" t="str">
            <v>T Nagar</v>
          </cell>
          <cell r="B8" t="str">
            <v>Central</v>
          </cell>
          <cell r="C8" t="str">
            <v>Tier 1</v>
          </cell>
        </row>
        <row r="9">
          <cell r="A9" t="str">
            <v>Sholinganallur</v>
          </cell>
          <cell r="B9" t="str">
            <v>South</v>
          </cell>
          <cell r="C9" t="str">
            <v>Tier 2</v>
          </cell>
        </row>
        <row r="10">
          <cell r="A10" t="str">
            <v>Medavakkam</v>
          </cell>
          <cell r="B10" t="str">
            <v>South</v>
          </cell>
          <cell r="C10" t="str">
            <v>Tier 3</v>
          </cell>
        </row>
        <row r="11">
          <cell r="A11" t="str">
            <v>Perungudi</v>
          </cell>
          <cell r="B11" t="str">
            <v>South</v>
          </cell>
          <cell r="C11" t="str">
            <v>Tier 2</v>
          </cell>
        </row>
        <row r="12">
          <cell r="A12" t="str">
            <v>Kodambakkam</v>
          </cell>
          <cell r="B12" t="str">
            <v>Central</v>
          </cell>
          <cell r="C12" t="str">
            <v>Tier 1</v>
          </cell>
        </row>
        <row r="13">
          <cell r="A13" t="str">
            <v>ECR</v>
          </cell>
          <cell r="B13" t="str">
            <v>South</v>
          </cell>
          <cell r="C13" t="str">
            <v>Tier 1</v>
          </cell>
        </row>
        <row r="14">
          <cell r="A14" t="str">
            <v>Chromepet</v>
          </cell>
          <cell r="B14" t="str">
            <v>South</v>
          </cell>
          <cell r="C14" t="str">
            <v>Tier 3</v>
          </cell>
        </row>
        <row r="15">
          <cell r="A15" t="str">
            <v>Pallikaranai</v>
          </cell>
          <cell r="B15" t="str">
            <v>South</v>
          </cell>
          <cell r="C15" t="str">
            <v>Tier 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0E23-120B-435E-8EEB-FE59B428D5F0}">
  <dimension ref="A1:J16"/>
  <sheetViews>
    <sheetView workbookViewId="0">
      <selection activeCell="J16" sqref="J16"/>
    </sheetView>
  </sheetViews>
  <sheetFormatPr defaultRowHeight="15" x14ac:dyDescent="0.25"/>
  <cols>
    <col min="1" max="1" width="11.5703125" style="3" bestFit="1" customWidth="1"/>
    <col min="2" max="2" width="14.5703125" style="3" bestFit="1" customWidth="1"/>
    <col min="3" max="3" width="13.5703125" style="3" bestFit="1" customWidth="1"/>
    <col min="4" max="4" width="19.5703125" style="3" bestFit="1" customWidth="1"/>
    <col min="5" max="5" width="14.140625" style="4" bestFit="1" customWidth="1"/>
    <col min="6" max="6" width="14.85546875" style="4" bestFit="1" customWidth="1"/>
    <col min="7" max="7" width="7.28515625" style="3" bestFit="1" customWidth="1"/>
    <col min="8" max="8" width="5.7109375" style="3" bestFit="1" customWidth="1"/>
    <col min="9" max="9" width="16.140625" style="4" bestFit="1" customWidth="1"/>
    <col min="10" max="10" width="14.85546875" style="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>
        <v>1200</v>
      </c>
      <c r="E2" s="4">
        <v>8000</v>
      </c>
      <c r="F2" s="4">
        <f>D2*E2</f>
        <v>9600000</v>
      </c>
      <c r="G2" s="3" t="str">
        <f>_xlfn.XLOOKUP(B2, [1]Locality_Reference!A:A, [1]Locality_Reference!B:B, "Unknown")</f>
        <v>South</v>
      </c>
      <c r="H2" s="3" t="str">
        <f>INDEX([1]Locality_Reference!C:C, MATCH(B2, [1]Locality_Reference!A:A, 0))</f>
        <v>Tier 1</v>
      </c>
      <c r="I2" s="4">
        <f>IF(H2="Tier 1", F2 * 0.05, 0)</f>
        <v>480000</v>
      </c>
      <c r="J2" s="4">
        <f>F2 + I2</f>
        <v>10080000</v>
      </c>
    </row>
    <row r="3" spans="1:10" x14ac:dyDescent="0.25">
      <c r="A3" s="3" t="s">
        <v>13</v>
      </c>
      <c r="B3" s="3" t="s">
        <v>14</v>
      </c>
      <c r="C3" s="3" t="s">
        <v>12</v>
      </c>
      <c r="D3" s="3">
        <v>1500</v>
      </c>
      <c r="E3" s="4">
        <v>6000</v>
      </c>
      <c r="F3" s="4">
        <f t="shared" ref="F3:F16" si="0">D3*E3</f>
        <v>9000000</v>
      </c>
      <c r="G3" s="3" t="str">
        <f>_xlfn.XLOOKUP(B3, [1]Locality_Reference!A:A, [1]Locality_Reference!B:B, "Unknown")</f>
        <v>South</v>
      </c>
      <c r="H3" s="3" t="str">
        <f>INDEX([1]Locality_Reference!C:C, MATCH(B3, [1]Locality_Reference!A:A, 0))</f>
        <v>Tier 2</v>
      </c>
      <c r="I3" s="4">
        <f t="shared" ref="I3:I16" si="1">IF(H3="Tier 1", F3 * 0.05, 0)</f>
        <v>0</v>
      </c>
      <c r="J3" s="4">
        <f t="shared" ref="J3:J16" si="2">F3 + I3</f>
        <v>9000000</v>
      </c>
    </row>
    <row r="4" spans="1:10" x14ac:dyDescent="0.25">
      <c r="A4" s="3" t="s">
        <v>15</v>
      </c>
      <c r="B4" s="3" t="s">
        <v>16</v>
      </c>
      <c r="C4" s="3" t="s">
        <v>17</v>
      </c>
      <c r="D4" s="3">
        <v>2400</v>
      </c>
      <c r="E4" s="4">
        <v>12000</v>
      </c>
      <c r="F4" s="4">
        <f t="shared" si="0"/>
        <v>28800000</v>
      </c>
      <c r="G4" s="3" t="str">
        <f>_xlfn.XLOOKUP(B4, [1]Locality_Reference!A:A, [1]Locality_Reference!B:B, "Unknown")</f>
        <v>Central</v>
      </c>
      <c r="H4" s="3" t="str">
        <f>INDEX([1]Locality_Reference!C:C, MATCH(B4, [1]Locality_Reference!A:A, 0))</f>
        <v>Tier 1</v>
      </c>
      <c r="I4" s="4">
        <f t="shared" si="1"/>
        <v>1440000</v>
      </c>
      <c r="J4" s="4">
        <f t="shared" si="2"/>
        <v>30240000</v>
      </c>
    </row>
    <row r="5" spans="1:10" x14ac:dyDescent="0.25">
      <c r="A5" s="3" t="s">
        <v>18</v>
      </c>
      <c r="B5" s="3" t="s">
        <v>19</v>
      </c>
      <c r="C5" s="3" t="s">
        <v>20</v>
      </c>
      <c r="D5" s="3">
        <v>1800</v>
      </c>
      <c r="E5" s="4">
        <v>7000</v>
      </c>
      <c r="F5" s="4">
        <f t="shared" si="0"/>
        <v>12600000</v>
      </c>
      <c r="G5" s="3" t="str">
        <f>_xlfn.XLOOKUP(B5, [1]Locality_Reference!A:A, [1]Locality_Reference!B:B, "Unknown")</f>
        <v>South</v>
      </c>
      <c r="H5" s="3" t="str">
        <f>INDEX([1]Locality_Reference!C:C, MATCH(B5, [1]Locality_Reference!A:A, 0))</f>
        <v>Tier 2</v>
      </c>
      <c r="I5" s="4">
        <f>IF(H5="Tier 1", F5 * 0.05, 0)</f>
        <v>0</v>
      </c>
      <c r="J5" s="4">
        <f t="shared" si="2"/>
        <v>12600000</v>
      </c>
    </row>
    <row r="6" spans="1:10" x14ac:dyDescent="0.25">
      <c r="A6" s="3" t="s">
        <v>21</v>
      </c>
      <c r="B6" s="3" t="s">
        <v>11</v>
      </c>
      <c r="C6" s="3" t="s">
        <v>17</v>
      </c>
      <c r="D6" s="3">
        <v>2000</v>
      </c>
      <c r="E6" s="4">
        <v>9000</v>
      </c>
      <c r="F6" s="4">
        <f t="shared" si="0"/>
        <v>18000000</v>
      </c>
      <c r="G6" s="3" t="str">
        <f>_xlfn.XLOOKUP(B6, [1]Locality_Reference!A:A, [1]Locality_Reference!B:B, "Unknown")</f>
        <v>South</v>
      </c>
      <c r="H6" s="3" t="str">
        <f>INDEX([1]Locality_Reference!C:C, MATCH(B6, [1]Locality_Reference!A:A, 0))</f>
        <v>Tier 1</v>
      </c>
      <c r="I6" s="4">
        <f t="shared" si="1"/>
        <v>900000</v>
      </c>
      <c r="J6" s="4">
        <f t="shared" si="2"/>
        <v>18900000</v>
      </c>
    </row>
    <row r="7" spans="1:10" x14ac:dyDescent="0.25">
      <c r="A7" s="3" t="s">
        <v>22</v>
      </c>
      <c r="B7" s="3" t="s">
        <v>23</v>
      </c>
      <c r="C7" s="3" t="s">
        <v>12</v>
      </c>
      <c r="D7" s="3">
        <v>1100</v>
      </c>
      <c r="E7" s="4">
        <v>6500</v>
      </c>
      <c r="F7" s="4">
        <f t="shared" si="0"/>
        <v>7150000</v>
      </c>
      <c r="G7" s="3" t="str">
        <f>_xlfn.XLOOKUP(B7, [1]Locality_Reference!A:A, [1]Locality_Reference!B:B, "Unknown")</f>
        <v>West</v>
      </c>
      <c r="H7" s="3" t="str">
        <f>INDEX([1]Locality_Reference!C:C, MATCH(B7, [1]Locality_Reference!A:A, 0))</f>
        <v>Tier 3</v>
      </c>
      <c r="I7" s="4">
        <f t="shared" si="1"/>
        <v>0</v>
      </c>
      <c r="J7" s="4">
        <f t="shared" si="2"/>
        <v>7150000</v>
      </c>
    </row>
    <row r="8" spans="1:10" x14ac:dyDescent="0.25">
      <c r="A8" s="3" t="s">
        <v>24</v>
      </c>
      <c r="B8" s="3" t="s">
        <v>25</v>
      </c>
      <c r="C8" s="3" t="s">
        <v>20</v>
      </c>
      <c r="D8" s="3">
        <v>2400</v>
      </c>
      <c r="E8" s="4">
        <v>4500</v>
      </c>
      <c r="F8" s="4">
        <f t="shared" si="0"/>
        <v>10800000</v>
      </c>
      <c r="G8" s="3" t="str">
        <f>_xlfn.XLOOKUP(B8, [1]Locality_Reference!A:A, [1]Locality_Reference!B:B, "Unknown")</f>
        <v>South</v>
      </c>
      <c r="H8" s="3" t="str">
        <f>INDEX([1]Locality_Reference!C:C, MATCH(B8, [1]Locality_Reference!A:A, 0))</f>
        <v>Tier 3</v>
      </c>
      <c r="I8" s="4">
        <f t="shared" si="1"/>
        <v>0</v>
      </c>
      <c r="J8" s="4">
        <f t="shared" si="2"/>
        <v>10800000</v>
      </c>
    </row>
    <row r="9" spans="1:10" x14ac:dyDescent="0.25">
      <c r="A9" s="3" t="s">
        <v>26</v>
      </c>
      <c r="B9" s="3" t="s">
        <v>27</v>
      </c>
      <c r="C9" s="3" t="s">
        <v>12</v>
      </c>
      <c r="D9" s="3">
        <v>1400</v>
      </c>
      <c r="E9" s="4">
        <v>11000</v>
      </c>
      <c r="F9" s="4">
        <f t="shared" si="0"/>
        <v>15400000</v>
      </c>
      <c r="G9" s="3" t="str">
        <f>_xlfn.XLOOKUP(B9, [1]Locality_Reference!A:A, [1]Locality_Reference!B:B, "Unknown")</f>
        <v>Central</v>
      </c>
      <c r="H9" s="3" t="str">
        <f>INDEX([1]Locality_Reference!C:C, MATCH(B9, [1]Locality_Reference!A:A, 0))</f>
        <v>Tier 1</v>
      </c>
      <c r="I9" s="4">
        <f t="shared" si="1"/>
        <v>770000</v>
      </c>
      <c r="J9" s="4">
        <f t="shared" si="2"/>
        <v>16170000</v>
      </c>
    </row>
    <row r="10" spans="1:10" x14ac:dyDescent="0.25">
      <c r="A10" s="3" t="s">
        <v>28</v>
      </c>
      <c r="B10" s="3" t="s">
        <v>29</v>
      </c>
      <c r="C10" s="3" t="s">
        <v>17</v>
      </c>
      <c r="D10" s="3">
        <v>2200</v>
      </c>
      <c r="E10" s="4">
        <v>7500</v>
      </c>
      <c r="F10" s="4">
        <f t="shared" si="0"/>
        <v>16500000</v>
      </c>
      <c r="G10" s="3" t="str">
        <f>_xlfn.XLOOKUP(B10, [1]Locality_Reference!A:A, [1]Locality_Reference!B:B, "Unknown")</f>
        <v>South</v>
      </c>
      <c r="H10" s="3" t="str">
        <f>INDEX([1]Locality_Reference!C:C, MATCH(B10, [1]Locality_Reference!A:A, 0))</f>
        <v>Tier 2</v>
      </c>
      <c r="I10" s="4">
        <f t="shared" si="1"/>
        <v>0</v>
      </c>
      <c r="J10" s="4">
        <f t="shared" si="2"/>
        <v>16500000</v>
      </c>
    </row>
    <row r="11" spans="1:10" x14ac:dyDescent="0.25">
      <c r="A11" s="3" t="s">
        <v>30</v>
      </c>
      <c r="B11" s="3" t="s">
        <v>31</v>
      </c>
      <c r="C11" s="3" t="s">
        <v>12</v>
      </c>
      <c r="D11" s="3">
        <v>1300</v>
      </c>
      <c r="E11" s="4">
        <v>5500</v>
      </c>
      <c r="F11" s="4">
        <f t="shared" si="0"/>
        <v>7150000</v>
      </c>
      <c r="G11" s="3" t="str">
        <f>_xlfn.XLOOKUP(B11, [1]Locality_Reference!A:A, [1]Locality_Reference!B:B, "Unknown")</f>
        <v>South</v>
      </c>
      <c r="H11" s="3" t="str">
        <f>INDEX([1]Locality_Reference!C:C, MATCH(B11, [1]Locality_Reference!A:A, 0))</f>
        <v>Tier 3</v>
      </c>
      <c r="I11" s="4">
        <f t="shared" si="1"/>
        <v>0</v>
      </c>
      <c r="J11" s="4">
        <f t="shared" si="2"/>
        <v>7150000</v>
      </c>
    </row>
    <row r="12" spans="1:10" x14ac:dyDescent="0.25">
      <c r="A12" s="3" t="s">
        <v>32</v>
      </c>
      <c r="B12" s="3" t="s">
        <v>33</v>
      </c>
      <c r="C12" s="3" t="s">
        <v>20</v>
      </c>
      <c r="D12" s="3">
        <v>1600</v>
      </c>
      <c r="E12" s="4">
        <v>6800</v>
      </c>
      <c r="F12" s="4">
        <f t="shared" si="0"/>
        <v>10880000</v>
      </c>
      <c r="G12" s="3" t="str">
        <f>_xlfn.XLOOKUP(B12, [1]Locality_Reference!A:A, [1]Locality_Reference!B:B, "Unknown")</f>
        <v>South</v>
      </c>
      <c r="H12" s="3" t="str">
        <f>INDEX([1]Locality_Reference!C:C, MATCH(B12, [1]Locality_Reference!A:A, 0))</f>
        <v>Tier 2</v>
      </c>
      <c r="I12" s="4">
        <f t="shared" si="1"/>
        <v>0</v>
      </c>
      <c r="J12" s="4">
        <f t="shared" si="2"/>
        <v>10880000</v>
      </c>
    </row>
    <row r="13" spans="1:10" x14ac:dyDescent="0.25">
      <c r="A13" s="3" t="s">
        <v>34</v>
      </c>
      <c r="B13" s="3" t="s">
        <v>35</v>
      </c>
      <c r="C13" s="3" t="s">
        <v>17</v>
      </c>
      <c r="D13" s="3">
        <v>2600</v>
      </c>
      <c r="E13" s="4">
        <v>10500</v>
      </c>
      <c r="F13" s="4">
        <f>D13*E13</f>
        <v>27300000</v>
      </c>
      <c r="G13" s="3" t="str">
        <f>_xlfn.XLOOKUP(B13, [1]Locality_Reference!A:A, [1]Locality_Reference!B:B, "Unknown")</f>
        <v>Central</v>
      </c>
      <c r="H13" s="3" t="str">
        <f>INDEX([1]Locality_Reference!C:C, MATCH(B13, [1]Locality_Reference!A:A, 0))</f>
        <v>Tier 1</v>
      </c>
      <c r="I13" s="4">
        <f t="shared" si="1"/>
        <v>1365000</v>
      </c>
      <c r="J13" s="4">
        <f t="shared" si="2"/>
        <v>28665000</v>
      </c>
    </row>
    <row r="14" spans="1:10" x14ac:dyDescent="0.25">
      <c r="A14" s="3" t="s">
        <v>36</v>
      </c>
      <c r="B14" s="3" t="s">
        <v>37</v>
      </c>
      <c r="C14" s="3" t="s">
        <v>12</v>
      </c>
      <c r="D14" s="3">
        <v>1250</v>
      </c>
      <c r="E14" s="4">
        <v>8500</v>
      </c>
      <c r="F14" s="4">
        <f t="shared" si="0"/>
        <v>10625000</v>
      </c>
      <c r="G14" s="3" t="str">
        <f>_xlfn.XLOOKUP(B14, [1]Locality_Reference!A:A, [1]Locality_Reference!B:B, "Unknown")</f>
        <v>South</v>
      </c>
      <c r="H14" s="3" t="str">
        <f>INDEX([1]Locality_Reference!C:C, MATCH(B14, [1]Locality_Reference!A:A, 0))</f>
        <v>Tier 1</v>
      </c>
      <c r="I14" s="4">
        <f t="shared" si="1"/>
        <v>531250</v>
      </c>
      <c r="J14" s="4">
        <f t="shared" si="2"/>
        <v>11156250</v>
      </c>
    </row>
    <row r="15" spans="1:10" x14ac:dyDescent="0.25">
      <c r="A15" s="3" t="s">
        <v>38</v>
      </c>
      <c r="B15" s="3" t="s">
        <v>39</v>
      </c>
      <c r="C15" s="3" t="s">
        <v>20</v>
      </c>
      <c r="D15" s="3">
        <v>3000</v>
      </c>
      <c r="E15" s="4">
        <v>6200</v>
      </c>
      <c r="F15" s="4">
        <f t="shared" si="0"/>
        <v>18600000</v>
      </c>
      <c r="G15" s="3" t="str">
        <f>_xlfn.XLOOKUP(B15, [1]Locality_Reference!A:A, [1]Locality_Reference!B:B, "Unknown")</f>
        <v>South</v>
      </c>
      <c r="H15" s="3" t="str">
        <f>INDEX([1]Locality_Reference!C:C, MATCH(B15, [1]Locality_Reference!A:A, 0))</f>
        <v>Tier 3</v>
      </c>
      <c r="I15" s="4">
        <f t="shared" si="1"/>
        <v>0</v>
      </c>
      <c r="J15" s="4">
        <f t="shared" si="2"/>
        <v>18600000</v>
      </c>
    </row>
    <row r="16" spans="1:10" x14ac:dyDescent="0.25">
      <c r="A16" s="3" t="s">
        <v>40</v>
      </c>
      <c r="B16" s="3" t="s">
        <v>41</v>
      </c>
      <c r="C16" s="3" t="s">
        <v>17</v>
      </c>
      <c r="D16" s="3">
        <v>1800</v>
      </c>
      <c r="E16" s="4">
        <v>5800</v>
      </c>
      <c r="F16" s="4">
        <f t="shared" si="0"/>
        <v>10440000</v>
      </c>
      <c r="G16" s="3" t="str">
        <f>_xlfn.XLOOKUP(B16, [1]Locality_Reference!A:A, [1]Locality_Reference!B:B, "Unknown")</f>
        <v>South</v>
      </c>
      <c r="H16" s="3" t="str">
        <f>INDEX([1]Locality_Reference!C:C, MATCH(B16, [1]Locality_Reference!A:A, 0))</f>
        <v>Tier 3</v>
      </c>
      <c r="I16" s="4">
        <f t="shared" si="1"/>
        <v>0</v>
      </c>
      <c r="J16" s="4">
        <f t="shared" si="2"/>
        <v>10440000</v>
      </c>
    </row>
  </sheetData>
  <conditionalFormatting sqref="A2:A12 A15:A1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0E56-5DB3-489B-AD82-8ADE99D942EF}">
  <dimension ref="A1:C15"/>
  <sheetViews>
    <sheetView tabSelected="1" workbookViewId="0">
      <selection activeCell="B15" sqref="B15"/>
    </sheetView>
  </sheetViews>
  <sheetFormatPr defaultRowHeight="15" x14ac:dyDescent="0.25"/>
  <cols>
    <col min="1" max="1" width="14.5703125" bestFit="1" customWidth="1"/>
    <col min="2" max="2" width="8.42578125" bestFit="1" customWidth="1"/>
    <col min="3" max="3" width="7.7109375" bestFit="1" customWidth="1"/>
  </cols>
  <sheetData>
    <row r="1" spans="1:3" x14ac:dyDescent="0.25">
      <c r="A1" s="5" t="s">
        <v>42</v>
      </c>
      <c r="B1" s="5" t="s">
        <v>43</v>
      </c>
      <c r="C1" s="5" t="s">
        <v>44</v>
      </c>
    </row>
    <row r="2" spans="1:3" x14ac:dyDescent="0.25">
      <c r="A2" s="6" t="s">
        <v>11</v>
      </c>
      <c r="B2" s="6" t="s">
        <v>45</v>
      </c>
      <c r="C2" s="6" t="s">
        <v>46</v>
      </c>
    </row>
    <row r="3" spans="1:3" x14ac:dyDescent="0.25">
      <c r="A3" s="6" t="s">
        <v>14</v>
      </c>
      <c r="B3" s="6" t="s">
        <v>45</v>
      </c>
      <c r="C3" s="6" t="s">
        <v>47</v>
      </c>
    </row>
    <row r="4" spans="1:3" x14ac:dyDescent="0.25">
      <c r="A4" s="6" t="s">
        <v>16</v>
      </c>
      <c r="B4" s="6" t="s">
        <v>48</v>
      </c>
      <c r="C4" s="6" t="s">
        <v>46</v>
      </c>
    </row>
    <row r="5" spans="1:3" x14ac:dyDescent="0.25">
      <c r="A5" s="6" t="s">
        <v>19</v>
      </c>
      <c r="B5" s="6" t="s">
        <v>45</v>
      </c>
      <c r="C5" s="6" t="s">
        <v>47</v>
      </c>
    </row>
    <row r="6" spans="1:3" x14ac:dyDescent="0.25">
      <c r="A6" s="6" t="s">
        <v>23</v>
      </c>
      <c r="B6" s="6" t="s">
        <v>49</v>
      </c>
      <c r="C6" s="6" t="s">
        <v>50</v>
      </c>
    </row>
    <row r="7" spans="1:3" x14ac:dyDescent="0.25">
      <c r="A7" s="6" t="s">
        <v>25</v>
      </c>
      <c r="B7" s="6" t="s">
        <v>45</v>
      </c>
      <c r="C7" s="6" t="s">
        <v>50</v>
      </c>
    </row>
    <row r="8" spans="1:3" x14ac:dyDescent="0.25">
      <c r="A8" s="6" t="s">
        <v>27</v>
      </c>
      <c r="B8" s="6" t="s">
        <v>48</v>
      </c>
      <c r="C8" s="6" t="s">
        <v>46</v>
      </c>
    </row>
    <row r="9" spans="1:3" x14ac:dyDescent="0.25">
      <c r="A9" s="6" t="s">
        <v>29</v>
      </c>
      <c r="B9" s="6" t="s">
        <v>45</v>
      </c>
      <c r="C9" s="6" t="s">
        <v>47</v>
      </c>
    </row>
    <row r="10" spans="1:3" x14ac:dyDescent="0.25">
      <c r="A10" s="6" t="s">
        <v>31</v>
      </c>
      <c r="B10" s="6" t="s">
        <v>45</v>
      </c>
      <c r="C10" s="6" t="s">
        <v>50</v>
      </c>
    </row>
    <row r="11" spans="1:3" x14ac:dyDescent="0.25">
      <c r="A11" s="6" t="s">
        <v>33</v>
      </c>
      <c r="B11" s="6" t="s">
        <v>45</v>
      </c>
      <c r="C11" s="6" t="s">
        <v>47</v>
      </c>
    </row>
    <row r="12" spans="1:3" x14ac:dyDescent="0.25">
      <c r="A12" s="6" t="s">
        <v>35</v>
      </c>
      <c r="B12" s="6" t="s">
        <v>48</v>
      </c>
      <c r="C12" s="6" t="s">
        <v>46</v>
      </c>
    </row>
    <row r="13" spans="1:3" x14ac:dyDescent="0.25">
      <c r="A13" s="6" t="s">
        <v>37</v>
      </c>
      <c r="B13" s="6" t="s">
        <v>45</v>
      </c>
      <c r="C13" s="6" t="s">
        <v>46</v>
      </c>
    </row>
    <row r="14" spans="1:3" x14ac:dyDescent="0.25">
      <c r="A14" s="6" t="s">
        <v>39</v>
      </c>
      <c r="B14" s="6" t="s">
        <v>45</v>
      </c>
      <c r="C14" s="6" t="s">
        <v>50</v>
      </c>
    </row>
    <row r="15" spans="1:3" x14ac:dyDescent="0.25">
      <c r="A15" s="6" t="s">
        <v>41</v>
      </c>
      <c r="B15" s="6" t="s">
        <v>51</v>
      </c>
      <c r="C15" s="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Properties_Data</vt:lpstr>
      <vt:lpstr>Locality_Reference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S0063701</dc:creator>
  <cp:lastModifiedBy>S0063701</cp:lastModifiedBy>
  <dcterms:created xsi:type="dcterms:W3CDTF">2026-06-12T16:16:24Z</dcterms:created>
  <dcterms:modified xsi:type="dcterms:W3CDTF">2026-06-12T17:57:05Z</dcterms:modified>
</cp:coreProperties>
</file>